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mulierte Aufstellung" sheetId="1" state="visible" r:id="rId1"/>
    <sheet name="Rechnungen &amp; Zahlun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9" customWidth="1" min="1" max="1"/>
    <col width="78" customWidth="1" min="2" max="2"/>
    <col width="9" customWidth="1" min="3" max="3"/>
    <col width="8" customWidth="1" min="4" max="4"/>
    <col width="13" customWidth="1" min="5" max="5"/>
    <col width="14" customWidth="1" min="6" max="6"/>
    <col width="12" customWidth="1" min="7" max="7"/>
  </cols>
  <sheetData>
    <row r="1">
      <c r="A1" s="1" t="inlineStr">
        <is>
          <t>Kumulierte Schlussrechnung – BV Liesborner Weg 19 (Villa), Projekt 0200 – ENTWURF</t>
        </is>
      </c>
    </row>
    <row r="2">
      <c r="A2" t="inlineStr">
        <is>
          <t>Auftraggeber (Empfehlung): CREST Living GmbH &amp; Co. KG, Liesborner Weg 19, 13507 Berlin</t>
        </is>
      </c>
    </row>
    <row r="4">
      <c r="A4" s="2" t="inlineStr">
        <is>
          <t>Pos.</t>
        </is>
      </c>
      <c r="B4" s="2" t="inlineStr">
        <is>
          <t>Beschreibung</t>
        </is>
      </c>
      <c r="C4" s="2" t="inlineStr">
        <is>
          <t>Menge</t>
        </is>
      </c>
      <c r="D4" s="2" t="inlineStr">
        <is>
          <t>Einheit</t>
        </is>
      </c>
      <c r="E4" s="2" t="inlineStr">
        <is>
          <t>EP netto</t>
        </is>
      </c>
      <c r="F4" s="2" t="inlineStr">
        <is>
          <t>GP netto</t>
        </is>
      </c>
      <c r="G4" s="2" t="inlineStr">
        <is>
          <t>Beleg</t>
        </is>
      </c>
    </row>
    <row r="5">
      <c r="A5" t="inlineStr">
        <is>
          <t>1</t>
        </is>
      </c>
      <c r="B5" s="3" t="inlineStr">
        <is>
          <t>Sanitärobjekte liefern und montieren, bauseits gelieferte Armaturen montieren</t>
        </is>
      </c>
      <c r="E5" s="4" t="n"/>
      <c r="F5" s="4" t="n"/>
    </row>
    <row r="6">
      <c r="A6" t="inlineStr">
        <is>
          <t>1.1</t>
        </is>
      </c>
      <c r="B6" s="5" t="inlineStr">
        <is>
          <t>Dachgeschoss (DG)</t>
        </is>
      </c>
      <c r="E6" s="4" t="n"/>
      <c r="F6" s="4" t="n"/>
    </row>
    <row r="7">
      <c r="A7" t="inlineStr">
        <is>
          <t>1.1.1</t>
        </is>
      </c>
      <c r="B7" t="inlineStr">
        <is>
          <t>Geberit iCon Wand-Tiefspül-WC mit WC-Sitz, kurz, weiß matt – liefern und montieren</t>
        </is>
      </c>
      <c r="C7" t="n">
        <v>1</v>
      </c>
      <c r="D7" t="inlineStr">
        <is>
          <t>Stk.</t>
        </is>
      </c>
      <c r="E7" s="4" t="n">
        <v>789</v>
      </c>
      <c r="F7" s="4">
        <f>ROUND(C7*E7,2)</f>
        <v/>
      </c>
      <c r="G7" t="inlineStr">
        <is>
          <t>RE 2024-47</t>
        </is>
      </c>
    </row>
    <row r="8">
      <c r="A8" t="inlineStr">
        <is>
          <t>1.1.2</t>
        </is>
      </c>
      <c r="B8" t="inlineStr">
        <is>
          <t>WC-Drückerplatte montieren</t>
        </is>
      </c>
      <c r="C8" t="n">
        <v>1</v>
      </c>
      <c r="D8" t="inlineStr">
        <is>
          <t>Stk.</t>
        </is>
      </c>
      <c r="E8" s="4" t="n">
        <v>65</v>
      </c>
      <c r="F8" s="4">
        <f>ROUND(C8*E8,2)</f>
        <v/>
      </c>
      <c r="G8" t="inlineStr">
        <is>
          <t>RE 2024-47</t>
        </is>
      </c>
    </row>
    <row r="9">
      <c r="A9" t="inlineStr">
        <is>
          <t>1.1.4</t>
        </is>
      </c>
      <c r="B9" t="inlineStr">
        <is>
          <t>Unterputz-Waschtischarmatur montieren</t>
        </is>
      </c>
      <c r="C9" t="n">
        <v>1</v>
      </c>
      <c r="D9" t="inlineStr">
        <is>
          <t>Stk.</t>
        </is>
      </c>
      <c r="E9" s="4" t="n">
        <v>109</v>
      </c>
      <c r="F9" s="4">
        <f>ROUND(C9*E9,2)</f>
        <v/>
      </c>
      <c r="G9" t="inlineStr">
        <is>
          <t>RE 2024-47</t>
        </is>
      </c>
    </row>
    <row r="10">
      <c r="A10" t="inlineStr">
        <is>
          <t>1.1.5</t>
        </is>
      </c>
      <c r="B10" t="inlineStr">
        <is>
          <t>Unterputz-Duscharmatur Gessi montieren</t>
        </is>
      </c>
      <c r="C10" t="n">
        <v>1</v>
      </c>
      <c r="D10" t="inlineStr">
        <is>
          <t>Stk.</t>
        </is>
      </c>
      <c r="E10" s="4" t="n">
        <v>229</v>
      </c>
      <c r="F10" s="4">
        <f>ROUND(C10*E10,2)</f>
        <v/>
      </c>
      <c r="G10" t="inlineStr">
        <is>
          <t>RE 2024-47</t>
        </is>
      </c>
    </row>
    <row r="11">
      <c r="A11" t="inlineStr">
        <is>
          <t>1.1.6</t>
        </is>
      </c>
      <c r="B11" t="inlineStr">
        <is>
          <t>Siphon schwarz matt liefern und montieren</t>
        </is>
      </c>
      <c r="C11" t="n">
        <v>1</v>
      </c>
      <c r="D11" t="inlineStr">
        <is>
          <t>Stk.</t>
        </is>
      </c>
      <c r="E11" s="4" t="n">
        <v>89</v>
      </c>
      <c r="F11" s="4">
        <f>ROUND(C11*E11,2)</f>
        <v/>
      </c>
      <c r="G11" t="inlineStr">
        <is>
          <t>RE 2024-47</t>
        </is>
      </c>
    </row>
    <row r="12">
      <c r="A12" t="inlineStr">
        <is>
          <t>1.1.1*</t>
        </is>
      </c>
      <c r="B12" t="inlineStr">
        <is>
          <t>Küchenarmatur (bauseits) montieren, 2 Eckventile + Ablaufgarnitur liefern und montieren</t>
        </is>
      </c>
      <c r="C12" t="n">
        <v>1</v>
      </c>
      <c r="D12" t="inlineStr">
        <is>
          <t>Stk.</t>
        </is>
      </c>
      <c r="E12" s="4" t="n">
        <v>229</v>
      </c>
      <c r="F12" s="4">
        <f>ROUND(C12*E12,2)</f>
        <v/>
      </c>
      <c r="G12" t="inlineStr">
        <is>
          <t>RE 2025-17</t>
        </is>
      </c>
    </row>
    <row r="13">
      <c r="A13" t="inlineStr">
        <is>
          <t>1.2</t>
        </is>
      </c>
      <c r="B13" s="5" t="inlineStr">
        <is>
          <t>Obergeschoss (OG)</t>
        </is>
      </c>
      <c r="E13" s="4" t="n"/>
      <c r="F13" s="4" t="n"/>
    </row>
    <row r="14">
      <c r="A14" t="inlineStr">
        <is>
          <t>1.2.1</t>
        </is>
      </c>
      <c r="B14" t="inlineStr">
        <is>
          <t>Geberit iCon Wand-Tiefspül-WC mit WC-Sitz, kurz, weiß matt – liefern und montieren</t>
        </is>
      </c>
      <c r="C14" t="n">
        <v>3</v>
      </c>
      <c r="D14" t="inlineStr">
        <is>
          <t>Stk.</t>
        </is>
      </c>
      <c r="E14" s="4" t="n">
        <v>789</v>
      </c>
      <c r="F14" s="4">
        <f>ROUND(C14*E14,2)</f>
        <v/>
      </c>
      <c r="G14" t="inlineStr">
        <is>
          <t>RE 2024-47</t>
        </is>
      </c>
    </row>
    <row r="15">
      <c r="A15" t="inlineStr">
        <is>
          <t>1.2.2</t>
        </is>
      </c>
      <c r="B15" t="inlineStr">
        <is>
          <t>WC-Drückerplatte montieren</t>
        </is>
      </c>
      <c r="C15" t="n">
        <v>3</v>
      </c>
      <c r="D15" t="inlineStr">
        <is>
          <t>Stk.</t>
        </is>
      </c>
      <c r="E15" s="4" t="n">
        <v>65</v>
      </c>
      <c r="F15" s="4">
        <f>ROUND(C15*E15,2)</f>
        <v/>
      </c>
      <c r="G15" t="inlineStr">
        <is>
          <t>RE 2024-47</t>
        </is>
      </c>
    </row>
    <row r="16">
      <c r="A16" t="inlineStr">
        <is>
          <t>1.2.3.1</t>
        </is>
      </c>
      <c r="B16" t="inlineStr">
        <is>
          <t>Wandwaschbecken TWG71 Mineralguss weiß matt mit Siphon</t>
        </is>
      </c>
      <c r="C16" t="n">
        <v>2</v>
      </c>
      <c r="D16" t="inlineStr">
        <is>
          <t>Stk.</t>
        </is>
      </c>
      <c r="E16" s="4" t="n">
        <v>589</v>
      </c>
      <c r="F16" s="4">
        <f>ROUND(C16*E16,2)</f>
        <v/>
      </c>
      <c r="G16" t="inlineStr">
        <is>
          <t>RE 2024-47</t>
        </is>
      </c>
    </row>
    <row r="17">
      <c r="A17" t="inlineStr">
        <is>
          <t>1.2.3.2</t>
        </is>
      </c>
      <c r="B17" t="inlineStr">
        <is>
          <t>Wandwaschbecken PB2035 Mineralguss weiß matt mit Siphon</t>
        </is>
      </c>
      <c r="C17" t="n">
        <v>1</v>
      </c>
      <c r="D17" t="inlineStr">
        <is>
          <t>Stk.</t>
        </is>
      </c>
      <c r="E17" s="4" t="n">
        <v>579</v>
      </c>
      <c r="F17" s="4">
        <f>ROUND(C17*E17,2)</f>
        <v/>
      </c>
      <c r="G17" t="inlineStr">
        <is>
          <t>RE 2024-47</t>
        </is>
      </c>
    </row>
    <row r="18">
      <c r="A18" t="inlineStr">
        <is>
          <t>1.2.4</t>
        </is>
      </c>
      <c r="B18" t="inlineStr">
        <is>
          <t>Unterputz-Waschtischarmatur montieren</t>
        </is>
      </c>
      <c r="C18" t="n">
        <v>3</v>
      </c>
      <c r="D18" t="inlineStr">
        <is>
          <t>Stk.</t>
        </is>
      </c>
      <c r="E18" s="4" t="n">
        <v>109</v>
      </c>
      <c r="F18" s="4">
        <f>ROUND(C18*E18,2)</f>
        <v/>
      </c>
      <c r="G18" t="inlineStr">
        <is>
          <t>RE 2024-47</t>
        </is>
      </c>
    </row>
    <row r="19">
      <c r="A19" t="inlineStr">
        <is>
          <t>1.2.5</t>
        </is>
      </c>
      <c r="B19" t="inlineStr">
        <is>
          <t>Unterputz-Duscharmatur Gessi montieren</t>
        </is>
      </c>
      <c r="C19" t="n">
        <v>2</v>
      </c>
      <c r="D19" t="inlineStr">
        <is>
          <t>Stk.</t>
        </is>
      </c>
      <c r="E19" s="4" t="n">
        <v>229</v>
      </c>
      <c r="F19" s="4">
        <f>ROUND(C19*E19,2)</f>
        <v/>
      </c>
      <c r="G19" t="inlineStr">
        <is>
          <t>RE 2024-47</t>
        </is>
      </c>
    </row>
    <row r="20">
      <c r="A20" t="inlineStr">
        <is>
          <t>1.2.7</t>
        </is>
      </c>
      <c r="B20" t="inlineStr">
        <is>
          <t>Duschrinne Geberit liefern und montieren</t>
        </is>
      </c>
      <c r="C20" t="n">
        <v>1</v>
      </c>
      <c r="D20" t="inlineStr">
        <is>
          <t>Stk.</t>
        </is>
      </c>
      <c r="E20" s="4" t="n">
        <v>467</v>
      </c>
      <c r="F20" s="4">
        <f>ROUND(C20*E20,2)</f>
        <v/>
      </c>
      <c r="G20" t="inlineStr">
        <is>
          <t>RE 2024-47</t>
        </is>
      </c>
    </row>
    <row r="21">
      <c r="A21" t="inlineStr">
        <is>
          <t>1.2.8</t>
        </is>
      </c>
      <c r="B21" t="inlineStr">
        <is>
          <t>Siphon schwarz matt liefern und montieren</t>
        </is>
      </c>
      <c r="C21" t="n">
        <v>3</v>
      </c>
      <c r="D21" t="inlineStr">
        <is>
          <t>Stk.</t>
        </is>
      </c>
      <c r="E21" s="4" t="n">
        <v>89</v>
      </c>
      <c r="F21" s="4">
        <f>ROUND(C21*E21,2)</f>
        <v/>
      </c>
      <c r="G21" t="inlineStr">
        <is>
          <t>RE 2024-47</t>
        </is>
      </c>
    </row>
    <row r="22">
      <c r="A22" t="inlineStr">
        <is>
          <t>1.2.9</t>
        </is>
      </c>
      <c r="B22" t="inlineStr">
        <is>
          <t>Urinal-Drückerplatte montieren</t>
        </is>
      </c>
      <c r="C22" t="n">
        <v>1</v>
      </c>
      <c r="D22" t="inlineStr">
        <is>
          <t>Stk.</t>
        </is>
      </c>
      <c r="E22" s="4" t="n">
        <v>100</v>
      </c>
      <c r="F22" s="4">
        <f>ROUND(C22*E22,2)</f>
        <v/>
      </c>
      <c r="G22" t="inlineStr">
        <is>
          <t>RE 2025-17</t>
        </is>
      </c>
    </row>
    <row r="23">
      <c r="A23" t="inlineStr">
        <is>
          <t>1.2.10</t>
        </is>
      </c>
      <c r="B23" t="inlineStr">
        <is>
          <t>Duravit ME by Starck Urinal Rimless weiß matt 0,5 l mit Deckel, Absaugsiphon und Zulaufgarnitur</t>
        </is>
      </c>
      <c r="C23" t="n">
        <v>1</v>
      </c>
      <c r="D23" t="inlineStr">
        <is>
          <t>Stk.</t>
        </is>
      </c>
      <c r="E23" s="4" t="n">
        <v>830</v>
      </c>
      <c r="F23" s="4">
        <f>ROUND(C23*E23,2)</f>
        <v/>
      </c>
      <c r="G23" t="inlineStr">
        <is>
          <t>RE 2025-17</t>
        </is>
      </c>
    </row>
    <row r="24">
      <c r="A24" t="inlineStr">
        <is>
          <t>1.3</t>
        </is>
      </c>
      <c r="B24" s="5" t="inlineStr">
        <is>
          <t>Erdgeschoss (EG)</t>
        </is>
      </c>
      <c r="E24" s="4" t="n"/>
      <c r="F24" s="4" t="n"/>
    </row>
    <row r="25">
      <c r="A25" t="inlineStr">
        <is>
          <t>1.3.1</t>
        </is>
      </c>
      <c r="B25" t="inlineStr">
        <is>
          <t>Geberit iCon Wand-Tiefspül-WC mit WC-Sitz, kurz, weiß matt – liefern und montieren</t>
        </is>
      </c>
      <c r="C25" t="n">
        <v>2</v>
      </c>
      <c r="D25" t="inlineStr">
        <is>
          <t>Stk.</t>
        </is>
      </c>
      <c r="E25" s="4" t="n">
        <v>789</v>
      </c>
      <c r="F25" s="4">
        <f>ROUND(C25*E25,2)</f>
        <v/>
      </c>
      <c r="G25" t="inlineStr">
        <is>
          <t>RE 2024-47</t>
        </is>
      </c>
    </row>
    <row r="26">
      <c r="A26" t="inlineStr">
        <is>
          <t>1.3.2.1</t>
        </is>
      </c>
      <c r="B26" t="inlineStr">
        <is>
          <t>WC-Drückerplatte montieren</t>
        </is>
      </c>
      <c r="C26" t="n">
        <v>2</v>
      </c>
      <c r="D26" t="inlineStr">
        <is>
          <t>Stk.</t>
        </is>
      </c>
      <c r="E26" s="4" t="n">
        <v>65</v>
      </c>
      <c r="F26" s="4">
        <f>ROUND(C26*E26,2)</f>
        <v/>
      </c>
      <c r="G26" t="inlineStr">
        <is>
          <t>RE 2024-47</t>
        </is>
      </c>
    </row>
    <row r="27">
      <c r="A27" t="inlineStr">
        <is>
          <t>1.3.3</t>
        </is>
      </c>
      <c r="B27" t="inlineStr">
        <is>
          <t>Duravit ME by Starck Urinal Rimless weiß 0,5 l mit Deckel, Absaugsiphon und Zulaufgarnitur</t>
        </is>
      </c>
      <c r="C27" t="n">
        <v>1</v>
      </c>
      <c r="D27" t="inlineStr">
        <is>
          <t>Stk.</t>
        </is>
      </c>
      <c r="E27" s="4" t="n">
        <v>750</v>
      </c>
      <c r="F27" s="4">
        <f>ROUND(C27*E27,2)</f>
        <v/>
      </c>
      <c r="G27" t="inlineStr">
        <is>
          <t>RE 2025-17</t>
        </is>
      </c>
    </row>
    <row r="28">
      <c r="A28" t="inlineStr">
        <is>
          <t>1.3.5</t>
        </is>
      </c>
      <c r="B28" t="inlineStr">
        <is>
          <t>Waschbecken und Armatur (bauseits) montieren inkl. Eckventile, Schläuche und Ablaufgarnitur</t>
        </is>
      </c>
      <c r="C28" t="n">
        <v>1</v>
      </c>
      <c r="D28" t="inlineStr">
        <is>
          <t>Stk.</t>
        </is>
      </c>
      <c r="E28" s="4" t="n">
        <v>320</v>
      </c>
      <c r="F28" s="4">
        <f>ROUND(C28*E28,2)</f>
        <v/>
      </c>
      <c r="G28" t="inlineStr">
        <is>
          <t>RE 2025-17</t>
        </is>
      </c>
    </row>
    <row r="29">
      <c r="A29" t="inlineStr">
        <is>
          <t>1.4</t>
        </is>
      </c>
      <c r="B29" s="5" t="inlineStr">
        <is>
          <t>Kellergeschoss (KG)</t>
        </is>
      </c>
      <c r="E29" s="4" t="n"/>
      <c r="F29" s="4" t="n"/>
    </row>
    <row r="30">
      <c r="A30" t="inlineStr">
        <is>
          <t>1.4.1</t>
        </is>
      </c>
      <c r="B30" t="inlineStr">
        <is>
          <t>Geberit iCon Wand-Tiefspül-WC mit WC-Sitz, kurz, weiß matt – liefern und montieren</t>
        </is>
      </c>
      <c r="C30" t="n">
        <v>1</v>
      </c>
      <c r="D30" t="inlineStr">
        <is>
          <t>Stk.</t>
        </is>
      </c>
      <c r="E30" s="4" t="n">
        <v>789</v>
      </c>
      <c r="F30" s="4">
        <f>ROUND(C30*E30,2)</f>
        <v/>
      </c>
      <c r="G30" t="inlineStr">
        <is>
          <t>RE 2024-47</t>
        </is>
      </c>
    </row>
    <row r="31">
      <c r="A31" t="inlineStr">
        <is>
          <t>1.4.2</t>
        </is>
      </c>
      <c r="B31" t="inlineStr">
        <is>
          <t>WC-Drückerplatte montieren</t>
        </is>
      </c>
      <c r="C31" t="n">
        <v>2</v>
      </c>
      <c r="D31" t="inlineStr">
        <is>
          <t>Stk.</t>
        </is>
      </c>
      <c r="E31" s="4" t="n">
        <v>65</v>
      </c>
      <c r="F31" s="4">
        <f>ROUND(C31*E31,2)</f>
        <v/>
      </c>
      <c r="G31" t="inlineStr">
        <is>
          <t>RE 2024-47</t>
        </is>
      </c>
    </row>
    <row r="32">
      <c r="A32" t="inlineStr">
        <is>
          <t>1.4.3</t>
        </is>
      </c>
      <c r="B32" t="inlineStr">
        <is>
          <t>Wandwaschbecken TWG71 Mineralguss weiß matt mit Siphon</t>
        </is>
      </c>
      <c r="C32" t="n">
        <v>1</v>
      </c>
      <c r="D32" t="inlineStr">
        <is>
          <t>Stk.</t>
        </is>
      </c>
      <c r="E32" s="4" t="n">
        <v>589</v>
      </c>
      <c r="F32" s="4">
        <f>ROUND(C32*E32,2)</f>
        <v/>
      </c>
      <c r="G32" t="inlineStr">
        <is>
          <t>RE 2024-47</t>
        </is>
      </c>
    </row>
    <row r="33">
      <c r="A33" t="inlineStr">
        <is>
          <t>1.4.4</t>
        </is>
      </c>
      <c r="B33" t="inlineStr">
        <is>
          <t>Unterputz-Waschtischarmatur montieren</t>
        </is>
      </c>
      <c r="C33" t="n">
        <v>2</v>
      </c>
      <c r="D33" t="inlineStr">
        <is>
          <t>Stk.</t>
        </is>
      </c>
      <c r="E33" s="4" t="n">
        <v>109</v>
      </c>
      <c r="F33" s="4">
        <f>ROUND(C33*E33,2)</f>
        <v/>
      </c>
      <c r="G33" t="inlineStr">
        <is>
          <t>RE 2024-47</t>
        </is>
      </c>
    </row>
    <row r="34">
      <c r="A34" t="inlineStr">
        <is>
          <t>1.4.5</t>
        </is>
      </c>
      <c r="B34" t="inlineStr">
        <is>
          <t>Unterputz-Duscharmatur Gessi montieren</t>
        </is>
      </c>
      <c r="C34" t="n">
        <v>2</v>
      </c>
      <c r="D34" t="inlineStr">
        <is>
          <t>Stk.</t>
        </is>
      </c>
      <c r="E34" s="4" t="n">
        <v>229</v>
      </c>
      <c r="F34" s="4">
        <f>ROUND(C34*E34,2)</f>
        <v/>
      </c>
      <c r="G34" t="inlineStr">
        <is>
          <t>RE 2024-47</t>
        </is>
      </c>
    </row>
    <row r="35">
      <c r="A35" t="inlineStr">
        <is>
          <t>1.4.6</t>
        </is>
      </c>
      <c r="B35" t="inlineStr">
        <is>
          <t>Küchenarmatur (schwenkbar) liefern und montieren, 2 Eckventile + Ablaufgarnitur</t>
        </is>
      </c>
      <c r="C35" t="n">
        <v>1</v>
      </c>
      <c r="D35" t="inlineStr">
        <is>
          <t>Stk.</t>
        </is>
      </c>
      <c r="E35" s="4" t="n">
        <v>429</v>
      </c>
      <c r="F35" s="4">
        <f>ROUND(C35*E35,2)</f>
        <v/>
      </c>
      <c r="G35" t="inlineStr">
        <is>
          <t>RE 2025-17</t>
        </is>
      </c>
    </row>
    <row r="36">
      <c r="A36" t="inlineStr">
        <is>
          <t>1.4.7</t>
        </is>
      </c>
      <c r="B36" t="inlineStr">
        <is>
          <t>Duravit ME by Starck Urinal Rimless weiß 0,5 l mit Deckel, Absaugsiphon und Zulaufgarnitur</t>
        </is>
      </c>
      <c r="C36" t="n">
        <v>1</v>
      </c>
      <c r="D36" t="inlineStr">
        <is>
          <t>Stk.</t>
        </is>
      </c>
      <c r="E36" s="4" t="n">
        <v>750</v>
      </c>
      <c r="F36" s="4">
        <f>ROUND(C36*E36,2)</f>
        <v/>
      </c>
      <c r="G36" t="inlineStr">
        <is>
          <t>RE 2025-17</t>
        </is>
      </c>
    </row>
    <row r="37">
      <c r="A37" t="inlineStr">
        <is>
          <t>1.4.8</t>
        </is>
      </c>
      <c r="B37" t="inlineStr">
        <is>
          <t>Urinal-Drückerplatte montieren</t>
        </is>
      </c>
      <c r="C37" t="n">
        <v>1</v>
      </c>
      <c r="D37" t="inlineStr">
        <is>
          <t>Stk.</t>
        </is>
      </c>
      <c r="E37" s="4" t="n">
        <v>100</v>
      </c>
      <c r="F37" s="4">
        <f>ROUND(C37*E37,2)</f>
        <v/>
      </c>
      <c r="G37" t="inlineStr">
        <is>
          <t>RE 2025-17</t>
        </is>
      </c>
    </row>
    <row r="38">
      <c r="A38" t="inlineStr">
        <is>
          <t>1.4.9</t>
        </is>
      </c>
      <c r="B38" t="inlineStr">
        <is>
          <t>Villeroy &amp; Boch Subway 3.0 Rechteck-Badewanne Stone White mit Überlauf</t>
        </is>
      </c>
      <c r="C38" t="n">
        <v>1</v>
      </c>
      <c r="D38" t="inlineStr">
        <is>
          <t>Stk.</t>
        </is>
      </c>
      <c r="E38" s="4" t="n">
        <v>1250</v>
      </c>
      <c r="F38" s="4">
        <f>ROUND(C38*E38,2)</f>
        <v/>
      </c>
      <c r="G38" t="inlineStr">
        <is>
          <t>RE 2025-17</t>
        </is>
      </c>
    </row>
    <row r="39">
      <c r="A39" t="inlineStr">
        <is>
          <t>1.4.10</t>
        </is>
      </c>
      <c r="B39" t="inlineStr">
        <is>
          <t>Badewannen-Armatur montieren</t>
        </is>
      </c>
      <c r="C39" t="n">
        <v>1</v>
      </c>
      <c r="D39" t="inlineStr">
        <is>
          <t>Stk.</t>
        </is>
      </c>
      <c r="E39" s="4" t="n">
        <v>109</v>
      </c>
      <c r="F39" s="4">
        <f>ROUND(C39*E39,2)</f>
        <v/>
      </c>
      <c r="G39" t="inlineStr">
        <is>
          <t>RE 2024-47</t>
        </is>
      </c>
    </row>
    <row r="40">
      <c r="A40" t="inlineStr">
        <is>
          <t>1.4.11</t>
        </is>
      </c>
      <c r="B40" t="inlineStr">
        <is>
          <t>Waschmaschine und Trockner montieren mit Schallschutzmatte</t>
        </is>
      </c>
      <c r="C40" t="n">
        <v>2</v>
      </c>
      <c r="D40" t="inlineStr">
        <is>
          <t>Set</t>
        </is>
      </c>
      <c r="E40" s="4" t="n">
        <v>119</v>
      </c>
      <c r="F40" s="4">
        <f>ROUND(C40*E40,2)</f>
        <v/>
      </c>
      <c r="G40" t="inlineStr">
        <is>
          <t>RE 2024-47</t>
        </is>
      </c>
    </row>
    <row r="41">
      <c r="A41" t="inlineStr">
        <is>
          <t>1.4.12</t>
        </is>
      </c>
      <c r="B41" t="inlineStr">
        <is>
          <t>Siphon schwarz matt liefern und montieren</t>
        </is>
      </c>
      <c r="C41" t="n">
        <v>1</v>
      </c>
      <c r="D41" t="inlineStr">
        <is>
          <t>Stk.</t>
        </is>
      </c>
      <c r="E41" s="4" t="n">
        <v>89</v>
      </c>
      <c r="F41" s="4">
        <f>ROUND(C41*E41,2)</f>
        <v/>
      </c>
      <c r="G41" t="inlineStr">
        <is>
          <t>RE 2024-47</t>
        </is>
      </c>
    </row>
    <row r="42">
      <c r="A42" t="inlineStr">
        <is>
          <t>1.4.13</t>
        </is>
      </c>
      <c r="B42" t="inlineStr">
        <is>
          <t>Siphon chrom liefern und montieren</t>
        </is>
      </c>
      <c r="C42" t="n">
        <v>1</v>
      </c>
      <c r="D42" t="inlineStr">
        <is>
          <t>Stk.</t>
        </is>
      </c>
      <c r="E42" s="4" t="n">
        <v>79</v>
      </c>
      <c r="F42" s="4">
        <f>ROUND(C42*E42,2)</f>
        <v/>
      </c>
      <c r="G42" t="inlineStr">
        <is>
          <t>RE 2024-47</t>
        </is>
      </c>
    </row>
    <row r="43">
      <c r="A43" t="inlineStr">
        <is>
          <t>1.4.14</t>
        </is>
      </c>
      <c r="B43" t="inlineStr">
        <is>
          <t>Handbrausen-Halterung montieren</t>
        </is>
      </c>
      <c r="C43" t="n">
        <v>1</v>
      </c>
      <c r="D43" t="inlineStr">
        <is>
          <t>Stk.</t>
        </is>
      </c>
      <c r="E43" s="4" t="n">
        <v>65</v>
      </c>
      <c r="F43" s="4">
        <f>ROUND(C43*E43,2)</f>
        <v/>
      </c>
      <c r="G43" t="inlineStr">
        <is>
          <t>RE 2024-47</t>
        </is>
      </c>
    </row>
    <row r="44">
      <c r="A44" t="inlineStr">
        <is>
          <t>1.4.15</t>
        </is>
      </c>
      <c r="B44" t="inlineStr">
        <is>
          <t>Handwaschbecken Laufen ohne Hahnloch</t>
        </is>
      </c>
      <c r="C44" t="n">
        <v>1</v>
      </c>
      <c r="D44" t="inlineStr">
        <is>
          <t>Stk.</t>
        </is>
      </c>
      <c r="E44" s="4" t="n">
        <v>465</v>
      </c>
      <c r="F44" s="4">
        <f>ROUND(C44*E44,2)</f>
        <v/>
      </c>
      <c r="G44" t="inlineStr">
        <is>
          <t>RE 2024-47</t>
        </is>
      </c>
    </row>
    <row r="45">
      <c r="A45" t="inlineStr">
        <is>
          <t>1.4.16</t>
        </is>
      </c>
      <c r="B45" t="inlineStr">
        <is>
          <t>Geberit iCon weiß Wand-Tiefspül-WC mit WC-Sitz</t>
        </is>
      </c>
      <c r="C45" t="n">
        <v>1</v>
      </c>
      <c r="D45" t="inlineStr">
        <is>
          <t>Stk.</t>
        </is>
      </c>
      <c r="E45" s="4" t="n">
        <v>425</v>
      </c>
      <c r="F45" s="4">
        <f>ROUND(C45*E45,2)</f>
        <v/>
      </c>
      <c r="G45" t="inlineStr">
        <is>
          <t>RE 2024-47</t>
        </is>
      </c>
    </row>
    <row r="46">
      <c r="A46" s="6" t="inlineStr"/>
      <c r="B46" s="6" t="inlineStr">
        <is>
          <t>Summe Titel 1 Sanitär</t>
        </is>
      </c>
      <c r="C46" s="6" t="n"/>
      <c r="D46" s="6" t="n"/>
      <c r="E46" s="7" t="n"/>
      <c r="F46" s="7">
        <f>SUM(F6:F45)</f>
        <v/>
      </c>
      <c r="G46" s="6" t="n"/>
    </row>
    <row r="47">
      <c r="A47" t="inlineStr">
        <is>
          <t>2</t>
        </is>
      </c>
      <c r="B47" s="3" t="inlineStr">
        <is>
          <t>Heizung</t>
        </is>
      </c>
      <c r="E47" s="4" t="n"/>
      <c r="F47" s="4" t="n"/>
    </row>
    <row r="48">
      <c r="A48" t="inlineStr">
        <is>
          <t>2.1</t>
        </is>
      </c>
      <c r="B48" t="inlineStr">
        <is>
          <t>Durchführung des hydraulischen Abgleichs (Lieferdatum 03.12.2024)</t>
        </is>
      </c>
      <c r="C48" t="n">
        <v>1</v>
      </c>
      <c r="D48" t="inlineStr">
        <is>
          <t>pschl.</t>
        </is>
      </c>
      <c r="E48" s="4" t="n">
        <v>270</v>
      </c>
      <c r="F48" s="4">
        <f>ROUND(C48*E48,2)</f>
        <v/>
      </c>
      <c r="G48" t="inlineStr">
        <is>
          <t>Dok. 159</t>
        </is>
      </c>
    </row>
    <row r="49">
      <c r="A49" t="inlineStr">
        <is>
          <t>2.7.0</t>
        </is>
      </c>
      <c r="B49" t="inlineStr">
        <is>
          <t>KG: Ratiodämm Tackerplatte 2 cm mit Unterdämmung 3 cm</t>
        </is>
      </c>
      <c r="C49" t="n">
        <v>78.5</v>
      </c>
      <c r="D49" t="inlineStr">
        <is>
          <t>m²</t>
        </is>
      </c>
      <c r="E49" s="4" t="n">
        <v>42.5</v>
      </c>
      <c r="F49" s="4">
        <f>ROUND(C49*E49,2)</f>
        <v/>
      </c>
      <c r="G49" t="inlineStr">
        <is>
          <t>Dok. 176</t>
        </is>
      </c>
    </row>
    <row r="50">
      <c r="A50" t="inlineStr">
        <is>
          <t>2.7.1</t>
        </is>
      </c>
      <c r="B50" t="inlineStr">
        <is>
          <t>KG: Ratiodämm Tackerplatte 3 cm mit Unterdämmung 6 cm</t>
        </is>
      </c>
      <c r="C50" t="n">
        <v>40.5</v>
      </c>
      <c r="D50" t="inlineStr">
        <is>
          <t>m²</t>
        </is>
      </c>
      <c r="E50" s="4" t="n">
        <v>45.7</v>
      </c>
      <c r="F50" s="4">
        <f>ROUND(C50*E50,2)</f>
        <v/>
      </c>
      <c r="G50" t="inlineStr">
        <is>
          <t>Dok. 176</t>
        </is>
      </c>
    </row>
    <row r="51">
      <c r="A51" t="inlineStr">
        <is>
          <t>2.8.1</t>
        </is>
      </c>
      <c r="B51" t="inlineStr">
        <is>
          <t>EG: Bekotec EN FTS</t>
        </is>
      </c>
      <c r="C51" t="n">
        <v>125.5</v>
      </c>
      <c r="D51" t="inlineStr">
        <is>
          <t>m²</t>
        </is>
      </c>
      <c r="E51" s="4" t="n">
        <v>47.8</v>
      </c>
      <c r="F51" s="4">
        <f>ROUND(C51*E51,2)</f>
        <v/>
      </c>
      <c r="G51" t="inlineStr">
        <is>
          <t>Dok. 176</t>
        </is>
      </c>
    </row>
    <row r="52">
      <c r="A52" t="inlineStr">
        <is>
          <t>2.9</t>
        </is>
      </c>
      <c r="B52" t="inlineStr">
        <is>
          <t>OG: Bekotec EN FTS</t>
        </is>
      </c>
      <c r="C52" t="n">
        <v>67.5</v>
      </c>
      <c r="D52" t="inlineStr">
        <is>
          <t>m²</t>
        </is>
      </c>
      <c r="E52" s="4" t="n">
        <v>47.8</v>
      </c>
      <c r="F52" s="4">
        <f>ROUND(C52*E52,2)</f>
        <v/>
      </c>
      <c r="G52" t="inlineStr">
        <is>
          <t>Dok. 176</t>
        </is>
      </c>
    </row>
    <row r="53">
      <c r="A53" t="inlineStr">
        <is>
          <t>2.10</t>
        </is>
      </c>
      <c r="B53" t="inlineStr">
        <is>
          <t>KG: Ratiodämm Tackerplatte 2 cm mit Unterdämmung 2 cm</t>
        </is>
      </c>
      <c r="C53" t="n">
        <v>58</v>
      </c>
      <c r="D53" t="inlineStr">
        <is>
          <t>m²</t>
        </is>
      </c>
      <c r="E53" s="4" t="n">
        <v>41.6</v>
      </c>
      <c r="F53" s="4">
        <f>ROUND(C53*E53,2)</f>
        <v/>
      </c>
      <c r="G53" t="inlineStr">
        <is>
          <t>Dok. 176</t>
        </is>
      </c>
    </row>
    <row r="54">
      <c r="A54" t="inlineStr">
        <is>
          <t>2.11</t>
        </is>
      </c>
      <c r="B54" t="inlineStr">
        <is>
          <t>Befüllung des gesamten Heizsystems mit aufbereitetem Heizungswasser, Entlüftung, Einregulierung und Aufheizen</t>
        </is>
      </c>
      <c r="C54" t="n">
        <v>1</v>
      </c>
      <c r="D54" t="inlineStr">
        <is>
          <t>pschl.</t>
        </is>
      </c>
      <c r="E54" s="4" t="n">
        <v>4700</v>
      </c>
      <c r="F54" s="4">
        <f>ROUND(C54*E54,2)</f>
        <v/>
      </c>
      <c r="G54" t="inlineStr">
        <is>
          <t>Dok. 176</t>
        </is>
      </c>
    </row>
    <row r="55">
      <c r="A55" t="inlineStr"/>
      <c r="B55" t="inlineStr">
        <is>
          <t>abzgl. Rabatt auf Pos. 2.7.0–2.11 (wie Dok. 176)</t>
        </is>
      </c>
      <c r="C55" s="8" t="n">
        <v>0.12</v>
      </c>
      <c r="D55" t="inlineStr">
        <is>
          <t>%</t>
        </is>
      </c>
      <c r="E55" s="4" t="n"/>
      <c r="F55" s="4">
        <f>-ROUND(SUM(F49:F54)*C55,2)</f>
        <v/>
      </c>
    </row>
    <row r="56">
      <c r="A56" s="6" t="inlineStr"/>
      <c r="B56" s="6" t="inlineStr">
        <is>
          <t>Summe Titel 2 Heizung</t>
        </is>
      </c>
      <c r="C56" s="6" t="n"/>
      <c r="D56" s="6" t="n"/>
      <c r="E56" s="7" t="n"/>
      <c r="F56" s="7">
        <f>SUM(F48:F55)</f>
        <v/>
      </c>
      <c r="G56" s="6" t="n"/>
    </row>
    <row r="57">
      <c r="E57" s="4" t="n"/>
      <c r="F57" s="4" t="n"/>
    </row>
    <row r="58">
      <c r="A58" s="6" t="inlineStr"/>
      <c r="B58" s="6" t="inlineStr">
        <is>
          <t>Gesamtleistung netto</t>
        </is>
      </c>
      <c r="C58" s="6" t="n"/>
      <c r="D58" s="6" t="n"/>
      <c r="E58" s="7" t="n"/>
      <c r="F58" s="7">
        <f>F46+F56</f>
        <v/>
      </c>
      <c r="G58" s="6" t="n"/>
    </row>
    <row r="59">
      <c r="A59" t="inlineStr"/>
      <c r="B59" t="inlineStr">
        <is>
          <t>USt 19 %</t>
        </is>
      </c>
      <c r="E59" s="4" t="n"/>
      <c r="F59" s="4">
        <f>ROUND(F58*0.19,2)</f>
        <v/>
      </c>
    </row>
    <row r="60">
      <c r="A60" s="6" t="inlineStr"/>
      <c r="B60" s="6" t="inlineStr">
        <is>
          <t>Gesamtleistung brutto</t>
        </is>
      </c>
      <c r="C60" s="6" t="n"/>
      <c r="D60" s="6" t="n"/>
      <c r="E60" s="7" t="n"/>
      <c r="F60" s="7">
        <f>F58+F59</f>
        <v/>
      </c>
      <c r="G60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7" customWidth="1" min="3" max="3"/>
    <col width="32" customWidth="1" min="4" max="4"/>
    <col width="12" customWidth="1" min="5" max="5"/>
    <col width="11" customWidth="1" min="6" max="6"/>
    <col width="12" customWidth="1" min="7" max="7"/>
    <col width="12" customWidth="1" min="8" max="8"/>
    <col width="12" customWidth="1" min="9" max="9"/>
    <col width="7" customWidth="1" min="10" max="10"/>
    <col width="70" customWidth="1" min="11" max="11"/>
    <col width="36" customWidth="1" min="12" max="12"/>
  </cols>
  <sheetData>
    <row r="1">
      <c r="A1" s="1" t="inlineStr">
        <is>
          <t>Alle Belege zum BV Liesborner Weg 19 (Villa)</t>
        </is>
      </c>
    </row>
    <row r="3">
      <c r="A3" s="2" t="inlineStr">
        <is>
          <t>Beleg</t>
        </is>
      </c>
      <c r="B3" s="2" t="inlineStr">
        <is>
          <t>Datum</t>
        </is>
      </c>
      <c r="C3" s="2" t="inlineStr">
        <is>
          <t>Empfänger</t>
        </is>
      </c>
      <c r="D3" s="2" t="inlineStr">
        <is>
          <t>Gewerk</t>
        </is>
      </c>
      <c r="E3" s="2" t="inlineStr">
        <is>
          <t>netto</t>
        </is>
      </c>
      <c r="F3" s="2" t="inlineStr">
        <is>
          <t>USt</t>
        </is>
      </c>
      <c r="G3" s="2" t="inlineStr">
        <is>
          <t>brutto</t>
        </is>
      </c>
      <c r="H3" s="2" t="inlineStr">
        <is>
          <t>gezahlt</t>
        </is>
      </c>
      <c r="I3" s="2" t="inlineStr">
        <is>
          <t>offen</t>
        </is>
      </c>
      <c r="J3" s="2" t="inlineStr">
        <is>
          <t>zählt</t>
        </is>
      </c>
      <c r="K3" s="2" t="inlineStr">
        <is>
          <t>Status / Bemerkung</t>
        </is>
      </c>
      <c r="L3" s="2" t="inlineStr">
        <is>
          <t>Drive-Datei-ID</t>
        </is>
      </c>
    </row>
    <row r="4">
      <c r="A4" t="inlineStr">
        <is>
          <t>RE 2024-47</t>
        </is>
      </c>
      <c r="B4" t="inlineStr">
        <is>
          <t>16.04.2024</t>
        </is>
      </c>
      <c r="C4" t="inlineStr">
        <is>
          <t>CREST Living GmbH &amp; Co. KG</t>
        </is>
      </c>
      <c r="D4" t="inlineStr">
        <is>
          <t>Sanitärobjekte / Montage Armaturen</t>
        </is>
      </c>
      <c r="E4" s="4" t="n">
        <v>12481</v>
      </c>
      <c r="F4" s="4" t="n">
        <v>2371.39</v>
      </c>
      <c r="G4" s="4" t="n">
        <v>14852.39</v>
      </c>
      <c r="H4" s="4" t="n"/>
      <c r="I4" s="4">
        <f>IF(H4="","prüfen",G4-H4)</f>
        <v/>
      </c>
      <c r="J4" t="inlineStr">
        <is>
          <t>Ja</t>
        </is>
      </c>
      <c r="K4" s="9" t="inlineStr">
        <is>
          <t>Gültige Rechnung. Zahlung nicht verifizierbar (Kontoauszüge Apr.–Jul. 2024 fehlen); nicht in OP-Liste 15.07.2026.</t>
        </is>
      </c>
      <c r="L4" t="inlineStr">
        <is>
          <t>1g6nY1jQ-8vG3aS5XhX6H6acuorJHnNb1</t>
        </is>
      </c>
    </row>
    <row r="5">
      <c r="A5" t="inlineStr">
        <is>
          <t>Dok. 159</t>
        </is>
      </c>
      <c r="B5" t="inlineStr">
        <is>
          <t>03.12.2024</t>
        </is>
      </c>
      <c r="C5" t="inlineStr">
        <is>
          <t>CREST Investment GmbH</t>
        </is>
      </c>
      <c r="D5" t="inlineStr">
        <is>
          <t>Heizung – hydraulischer Abgleich</t>
        </is>
      </c>
      <c r="E5" s="4" t="n">
        <v>270</v>
      </c>
      <c r="F5" s="4" t="n">
        <v>51.3</v>
      </c>
      <c r="G5" s="4" t="n">
        <v>321.3</v>
      </c>
      <c r="H5" s="4" t="n">
        <v>0</v>
      </c>
      <c r="I5" s="4">
        <f>IF(H5="","prüfen",G5-H5)</f>
        <v/>
      </c>
      <c r="J5" t="inlineStr">
        <is>
          <t>Ja</t>
        </is>
      </c>
      <c r="K5" s="9" t="inlineStr">
        <is>
          <t>Nur „Angebotsnummer 159“, keine Rechnungsnummer. Keine Zahlung Jan. 2025–Apr. 2026. Wird durch neue Schlussrechnung ersetzt.</t>
        </is>
      </c>
      <c r="L5" t="inlineStr">
        <is>
          <t>1uzr4oftGcv9a1kAyKVSrmYjRWDeN_Eq5</t>
        </is>
      </c>
    </row>
    <row r="6">
      <c r="A6" t="inlineStr">
        <is>
          <t>Dok. 176 (SR)</t>
        </is>
      </c>
      <c r="B6" t="inlineStr">
        <is>
          <t>05.01.2025</t>
        </is>
      </c>
      <c r="C6" t="inlineStr">
        <is>
          <t>CREST Investment GmbH</t>
        </is>
      </c>
      <c r="D6" t="inlineStr">
        <is>
          <t>Fußbodenheizung (Schlussrechnung)</t>
        </is>
      </c>
      <c r="E6" s="4" t="n">
        <v>18942.26</v>
      </c>
      <c r="F6" s="4" t="n">
        <v>3599.03</v>
      </c>
      <c r="G6" s="4" t="n">
        <v>22541.3</v>
      </c>
      <c r="H6" s="4" t="n">
        <v>0</v>
      </c>
      <c r="I6" s="4">
        <f>IF(H6="","prüfen",G6-H6)</f>
        <v/>
      </c>
      <c r="J6" t="inlineStr">
        <is>
          <t>Ja</t>
        </is>
      </c>
      <c r="K6" s="9" t="inlineStr">
        <is>
          <t>OFFEN. Nur „Angebotsnummer 176“, keine Rechnungsnummer, falscher Empfänger. Keine Zahlung bis Apr. 2026; in OP-Liste 15.07.2026. Wird durch neue Schlussrechnung ersetzt.</t>
        </is>
      </c>
      <c r="L6" t="inlineStr">
        <is>
          <t>1foZqeVpqvHKekiLv0qZJMnfcPezxwBKZ</t>
        </is>
      </c>
    </row>
    <row r="7">
      <c r="A7" t="inlineStr">
        <is>
          <t>NA 175</t>
        </is>
      </c>
      <c r="B7" t="inlineStr">
        <is>
          <t>05.01.2025</t>
        </is>
      </c>
      <c r="C7" t="inlineStr">
        <is>
          <t>CREST Living GmbH &amp; Co. KG</t>
        </is>
      </c>
      <c r="D7" t="inlineStr">
        <is>
          <t>Nachtragsangebot Sanitärobjekte</t>
        </is>
      </c>
      <c r="E7" s="4" t="n">
        <v>5605</v>
      </c>
      <c r="F7" s="4" t="n">
        <v>1064.95</v>
      </c>
      <c r="G7" s="4" t="n">
        <v>6669.95</v>
      </c>
      <c r="H7" s="4" t="n">
        <v>0</v>
      </c>
      <c r="I7" s="4">
        <f>IF(H7="","prüfen",G7-H7)</f>
        <v/>
      </c>
      <c r="J7" t="inlineStr">
        <is>
          <t>Nein</t>
        </is>
      </c>
      <c r="K7" s="9" t="inlineStr">
        <is>
          <t>Angebot (keine Forderung).</t>
        </is>
      </c>
      <c r="L7" t="inlineStr">
        <is>
          <t>1JRWNYV_kejBgctS9o1diSfqkidg0sI0D</t>
        </is>
      </c>
    </row>
    <row r="8">
      <c r="A8" t="inlineStr">
        <is>
          <t>Dok. 175</t>
        </is>
      </c>
      <c r="B8" t="inlineStr">
        <is>
          <t>05.01.2025</t>
        </is>
      </c>
      <c r="C8" t="inlineStr">
        <is>
          <t>CREST Investment</t>
        </is>
      </c>
      <c r="D8" t="inlineStr">
        <is>
          <t>Sanitärobjekte Nachtrag</t>
        </is>
      </c>
      <c r="E8" s="4" t="n">
        <v>5605</v>
      </c>
      <c r="F8" s="4" t="n">
        <v>1064.95</v>
      </c>
      <c r="G8" s="4" t="n">
        <v>6669.95</v>
      </c>
      <c r="H8" s="4" t="n">
        <v>0</v>
      </c>
      <c r="I8" s="4">
        <f>IF(H8="","prüfen",G8-H8)</f>
        <v/>
      </c>
      <c r="J8" t="inlineStr">
        <is>
          <t>Nein</t>
        </is>
      </c>
      <c r="K8" s="9" t="inlineStr">
        <is>
          <t>Vorversion ohne Rechnungsnummer, am 28.03.2025 als RE 2025-8 neu gestellt.</t>
        </is>
      </c>
      <c r="L8" t="inlineStr">
        <is>
          <t>1rTdochXOIHlzC_eGiEUnTnm8p6fh4EVM</t>
        </is>
      </c>
    </row>
    <row r="9">
      <c r="A9" t="inlineStr">
        <is>
          <t>RE 2025-8</t>
        </is>
      </c>
      <c r="B9" t="inlineStr">
        <is>
          <t>28.03.2025</t>
        </is>
      </c>
      <c r="C9" t="inlineStr">
        <is>
          <t>CREST Investment</t>
        </is>
      </c>
      <c r="D9" t="inlineStr">
        <is>
          <t>Sanitärobjekte Nachtrag</t>
        </is>
      </c>
      <c r="E9" s="4" t="n">
        <v>5605</v>
      </c>
      <c r="F9" s="4" t="n">
        <v>1064.95</v>
      </c>
      <c r="G9" s="4" t="n">
        <v>6669.95</v>
      </c>
      <c r="H9" s="4" t="n">
        <v>0</v>
      </c>
      <c r="I9" s="4">
        <f>IF(H9="","prüfen",G9-H9)</f>
        <v/>
      </c>
      <c r="J9" t="inlineStr">
        <is>
          <t>Nein</t>
        </is>
      </c>
      <c r="K9" s="9" t="inlineStr">
        <is>
          <t>Inhaltlich durch RE 2025-17 (an CREST Living) ersetzt, nicht bezahlt → Stornorechnung zu 2025-8 ausstellen (USt-Ausweis!). 847,00 € netto Differenz zu 2025-17 klären.</t>
        </is>
      </c>
      <c r="L9" t="inlineStr">
        <is>
          <t>1Wp1fnJ1YDxFhOI_ShhnBsH4_b5bpgIS-</t>
        </is>
      </c>
    </row>
    <row r="10">
      <c r="A10" t="inlineStr">
        <is>
          <t>RE 2025-17</t>
        </is>
      </c>
      <c r="B10" t="inlineStr">
        <is>
          <t>14.04.2025</t>
        </is>
      </c>
      <c r="C10" t="inlineStr">
        <is>
          <t>CREST Living GmbH &amp; Co. KG</t>
        </is>
      </c>
      <c r="D10" t="inlineStr">
        <is>
          <t>Sanitärobjekte Nachtrag (korrigiert)</t>
        </is>
      </c>
      <c r="E10" s="4" t="n">
        <v>4758</v>
      </c>
      <c r="F10" s="4" t="n">
        <v>904.02</v>
      </c>
      <c r="G10" s="4" t="n">
        <v>5662.02</v>
      </c>
      <c r="H10" s="4" t="n">
        <v>5662.02</v>
      </c>
      <c r="I10" s="4">
        <f>IF(H10="","prüfen",G10-H10)</f>
        <v/>
      </c>
      <c r="J10" t="inlineStr">
        <is>
          <t>Ja</t>
        </is>
      </c>
      <c r="K10" s="9" t="inlineStr">
        <is>
          <t>Bezahlt 19.09.2025 durch CREST Living.</t>
        </is>
      </c>
      <c r="L10" t="inlineStr">
        <is>
          <t>1Qbcqk--Kr-13q1xiiQopgAto4NLtN_Rj</t>
        </is>
      </c>
    </row>
    <row r="11">
      <c r="A11" s="6" t="inlineStr">
        <is>
          <t>Summe (nur Zeilen mit zählt = Ja)</t>
        </is>
      </c>
      <c r="B11" s="6" t="n"/>
      <c r="C11" s="6" t="n"/>
      <c r="D11" s="6" t="n"/>
      <c r="E11" s="7">
        <f>SUMIF($J$4:$J$10,"Ja",E4:E10)</f>
        <v/>
      </c>
      <c r="F11" s="7">
        <f>SUMIF($J$4:$J$10,"Ja",F4:F10)</f>
        <v/>
      </c>
      <c r="G11" s="7">
        <f>SUMIF($J$4:$J$10,"Ja",G4:G10)</f>
        <v/>
      </c>
      <c r="H11" s="7">
        <f>SUMIF($J$4:$J$10,"Ja",H4:H10)</f>
        <v/>
      </c>
      <c r="I11" s="7">
        <f>SUMIF($J$4:$J$10,"Ja",I4:I10)</f>
        <v/>
      </c>
      <c r="J11" s="6" t="n"/>
      <c r="K11" s="10" t="n"/>
      <c r="L1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2026-09-28T20:15:50Z</dcterms:created>
  <dcterms:modified xsi:type="dcterms:W3CDTF">2026-09-28T20:15:50Z</dcterms:modified>
</cp:coreProperties>
</file>